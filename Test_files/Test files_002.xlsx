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60\Desktop\"/>
    </mc:Choice>
  </mc:AlternateContent>
  <xr:revisionPtr revIDLastSave="0" documentId="13_ncr:1_{6D9EBC7F-9E52-4833-995C-12B815240C7F}" xr6:coauthVersionLast="47" xr6:coauthVersionMax="47" xr10:uidLastSave="{00000000-0000-0000-0000-000000000000}"/>
  <bookViews>
    <workbookView xWindow="-108" yWindow="-108" windowWidth="23256" windowHeight="12576" activeTab="1" xr2:uid="{CE143083-7D3D-46F1-BA7A-1A0F7B5AC93D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C22" i="1"/>
  <c r="I11" i="1"/>
  <c r="J11" i="1" s="1"/>
  <c r="I10" i="1"/>
  <c r="J10" i="1" s="1"/>
  <c r="I9" i="1"/>
  <c r="J9" i="1" s="1"/>
  <c r="H12" i="1"/>
  <c r="F13" i="1"/>
</calcChain>
</file>

<file path=xl/sharedStrings.xml><?xml version="1.0" encoding="utf-8"?>
<sst xmlns="http://schemas.openxmlformats.org/spreadsheetml/2006/main" count="32" uniqueCount="19">
  <si>
    <t>items</t>
  </si>
  <si>
    <t>Cost</t>
  </si>
  <si>
    <t>Rent</t>
  </si>
  <si>
    <t>Food</t>
  </si>
  <si>
    <t>School fees</t>
  </si>
  <si>
    <t>other expense</t>
  </si>
  <si>
    <t>Row Labels</t>
  </si>
  <si>
    <t>(blank)</t>
  </si>
  <si>
    <t>Grand Total</t>
  </si>
  <si>
    <t>Sum of Cost</t>
  </si>
  <si>
    <t>Total</t>
  </si>
  <si>
    <t>Tea</t>
  </si>
  <si>
    <t>cOffee</t>
  </si>
  <si>
    <t>Meals outside</t>
  </si>
  <si>
    <t>Drinks</t>
  </si>
  <si>
    <t>Date</t>
  </si>
  <si>
    <t>TEa</t>
  </si>
  <si>
    <t>coffee</t>
  </si>
  <si>
    <t>Tution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</si>
</sst>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0" fontId="0" fillId="0" borderId="1" xfId="0" applyBorder="1"/>
    <xf numFmtId="0" fontId="1" fillId="2" borderId="0" xfId="0" applyFont="1" applyFill="1"/>
    <xf numFmtId="16" fontId="0" fillId="0" borderId="0" xfId="0" applyNumberFormat="1"/>
  </cellXfs>
  <cellStyles count="1">
    <cellStyle name="Normal" xfId="0" builtinId="0"/>
  </cellStyles>
  <dxfs count="6">
    <dxf>
      <numFmt numFmtId="21" formatCode="dd/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60" refreshedDate="45177.777692708332" createdVersion="8" refreshedVersion="8" minRefreshableVersion="3" recordCount="5" xr:uid="{09AE5652-7F78-4764-A41E-459265EE36B9}">
  <cacheSource type="worksheet">
    <worksheetSource ref="E8:F13" sheet="Sheet1"/>
  </cacheSource>
  <cacheFields count="2">
    <cacheField name="items" numFmtId="0">
      <sharedItems containsBlank="1" count="5">
        <s v="Rent"/>
        <s v="Food"/>
        <s v="School fees"/>
        <s v="other expense"/>
        <m/>
      </sharedItems>
    </cacheField>
    <cacheField name="Cost" numFmtId="0">
      <sharedItems containsSemiMixedTypes="0" containsString="0" containsNumber="1" containsInteger="1" minValue="4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0"/>
  </r>
  <r>
    <x v="1"/>
    <n v="21"/>
  </r>
  <r>
    <x v="2"/>
    <n v="10"/>
  </r>
  <r>
    <x v="3"/>
    <n v="4"/>
  </r>
  <r>
    <x v="4"/>
    <n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8F7709-11FA-4A90-B61E-94C804AE3A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">
    <pivotField axis="axisRow" showAll="0">
      <items count="6">
        <item x="1"/>
        <item x="3"/>
        <item x="0"/>
        <item x="2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s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82992C-5FC9-4051-8987-70E55E224892}" name="Table2" displayName="Table2" ref="E8:F13" totalsRowShown="0" headerRowDxfId="5" dataDxfId="4" tableBorderDxfId="3">
  <autoFilter ref="E8:F13" xr:uid="{1382992C-5FC9-4051-8987-70E55E224892}"/>
  <tableColumns count="2">
    <tableColumn id="1" xr3:uid="{24877BB9-B22F-43AF-9EEE-0B3CCA6C567C}" name="items" dataDxfId="2"/>
    <tableColumn id="2" xr3:uid="{EE91155A-EA01-4811-B580-A2D037523EE7}" name="Cost" dataDxfId="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FDC09-3C3B-45D3-AB7E-C39B5FCD09A3}" name="MyExpense" displayName="MyExpense" ref="A8:C22" totalsRowCount="1">
  <autoFilter ref="A8:C21" xr:uid="{673FDC09-3C3B-45D3-AB7E-C39B5FCD09A3}"/>
  <tableColumns count="3">
    <tableColumn id="1" xr3:uid="{5ED146F2-023E-4433-9A6F-F545677D6094}" name="Date" totalsRowLabel="Total" dataDxfId="0"/>
    <tableColumn id="2" xr3:uid="{B6272942-B3D2-40CC-81AC-761AEAFB218E}" name="items"/>
    <tableColumn id="3" xr3:uid="{8C5FDD6F-38DA-4791-84F1-803108FDBE32}" name="Cos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2E7E8-1E42-4734-8295-F011602662D6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109375" bestFit="1" customWidth="1"/>
  </cols>
  <sheetData>
    <row r="3" spans="1:2" x14ac:dyDescent="0.3">
      <c r="A3" s="1" t="s">
        <v>6</v>
      </c>
      <c r="B3" t="s">
        <v>9</v>
      </c>
    </row>
    <row r="4" spans="1:2" x14ac:dyDescent="0.3">
      <c r="A4" s="2" t="s">
        <v>3</v>
      </c>
      <c r="B4">
        <v>21</v>
      </c>
    </row>
    <row r="5" spans="1:2" x14ac:dyDescent="0.3">
      <c r="A5" s="2" t="s">
        <v>5</v>
      </c>
      <c r="B5">
        <v>4</v>
      </c>
    </row>
    <row r="6" spans="1:2" x14ac:dyDescent="0.3">
      <c r="A6" s="2" t="s">
        <v>2</v>
      </c>
      <c r="B6">
        <v>50</v>
      </c>
    </row>
    <row r="7" spans="1:2" x14ac:dyDescent="0.3">
      <c r="A7" s="2" t="s">
        <v>4</v>
      </c>
      <c r="B7">
        <v>10</v>
      </c>
    </row>
    <row r="8" spans="1:2" x14ac:dyDescent="0.3">
      <c r="A8" s="2" t="s">
        <v>7</v>
      </c>
      <c r="B8">
        <v>85</v>
      </c>
    </row>
    <row r="9" spans="1:2" x14ac:dyDescent="0.3">
      <c r="A9" s="2" t="s">
        <v>8</v>
      </c>
      <c r="B9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B96C-B02A-43BB-A5F8-8F67F7411CAD}">
  <dimension ref="A8:J22"/>
  <sheetViews>
    <sheetView tabSelected="1" topLeftCell="A10" workbookViewId="0">
      <selection activeCell="H30" sqref="H30"/>
    </sheetView>
  </sheetViews>
  <sheetFormatPr defaultRowHeight="14.4" x14ac:dyDescent="0.3"/>
  <sheetData>
    <row r="8" spans="1:10" x14ac:dyDescent="0.3">
      <c r="A8" t="s">
        <v>15</v>
      </c>
      <c r="B8" t="s">
        <v>0</v>
      </c>
      <c r="C8" t="s">
        <v>1</v>
      </c>
      <c r="E8" s="5" t="s">
        <v>0</v>
      </c>
      <c r="F8" s="5" t="s">
        <v>1</v>
      </c>
    </row>
    <row r="9" spans="1:10" x14ac:dyDescent="0.3">
      <c r="A9" s="6">
        <v>45047</v>
      </c>
      <c r="B9" t="s">
        <v>2</v>
      </c>
      <c r="C9">
        <v>5000</v>
      </c>
      <c r="E9" s="3" t="s">
        <v>2</v>
      </c>
      <c r="F9" s="3">
        <v>50</v>
      </c>
      <c r="I9" t="str">
        <f>B10</f>
        <v>Food</v>
      </c>
      <c r="J9">
        <f ca="1">SUMIF(B9:C21,I9,C8:C21)</f>
        <v>12865</v>
      </c>
    </row>
    <row r="10" spans="1:10" x14ac:dyDescent="0.3">
      <c r="A10" s="6">
        <v>45047</v>
      </c>
      <c r="B10" t="s">
        <v>3</v>
      </c>
      <c r="C10">
        <v>2100</v>
      </c>
      <c r="E10" s="4" t="s">
        <v>3</v>
      </c>
      <c r="F10" s="4">
        <v>21</v>
      </c>
      <c r="I10" t="str">
        <f>B11</f>
        <v>School fees</v>
      </c>
      <c r="J10">
        <f>SUMIF(B9:B21,I10,C9:C21)</f>
        <v>3155</v>
      </c>
    </row>
    <row r="11" spans="1:10" x14ac:dyDescent="0.3">
      <c r="A11" s="6">
        <v>45047</v>
      </c>
      <c r="B11" t="s">
        <v>4</v>
      </c>
      <c r="C11">
        <v>2455</v>
      </c>
      <c r="E11" s="3" t="s">
        <v>4</v>
      </c>
      <c r="F11" s="3">
        <v>10</v>
      </c>
      <c r="I11" t="str">
        <f>B13</f>
        <v>Tea</v>
      </c>
      <c r="J11">
        <f ca="1">SUMIF(B9:C21,I11,C9:C21)</f>
        <v>500</v>
      </c>
    </row>
    <row r="12" spans="1:10" x14ac:dyDescent="0.3">
      <c r="A12" s="6">
        <v>45047</v>
      </c>
      <c r="B12" t="s">
        <v>5</v>
      </c>
      <c r="C12">
        <v>560</v>
      </c>
      <c r="E12" s="4" t="s">
        <v>5</v>
      </c>
      <c r="F12" s="4">
        <v>4</v>
      </c>
      <c r="H12" t="str">
        <f>Sheet1!$F$8</f>
        <v>Cost</v>
      </c>
    </row>
    <row r="13" spans="1:10" x14ac:dyDescent="0.3">
      <c r="A13" s="6">
        <v>45048</v>
      </c>
      <c r="B13" t="s">
        <v>11</v>
      </c>
      <c r="E13" s="3" t="s">
        <v>10</v>
      </c>
      <c r="F13" s="3">
        <f>SUM(F9:F12)</f>
        <v>85</v>
      </c>
    </row>
    <row r="14" spans="1:10" x14ac:dyDescent="0.3">
      <c r="A14" s="6">
        <v>45048</v>
      </c>
      <c r="B14" t="s">
        <v>12</v>
      </c>
      <c r="C14">
        <v>450</v>
      </c>
    </row>
    <row r="15" spans="1:10" x14ac:dyDescent="0.3">
      <c r="A15" s="6">
        <v>45049</v>
      </c>
      <c r="B15" t="s">
        <v>13</v>
      </c>
      <c r="C15">
        <v>750</v>
      </c>
    </row>
    <row r="16" spans="1:10" x14ac:dyDescent="0.3">
      <c r="A16" s="6">
        <v>45049</v>
      </c>
      <c r="B16" t="s">
        <v>14</v>
      </c>
      <c r="C16">
        <v>7865</v>
      </c>
      <c r="G16">
        <f>SUM(MyExpense[Cost])</f>
        <v>22480</v>
      </c>
    </row>
    <row r="17" spans="1:3" x14ac:dyDescent="0.3">
      <c r="A17" s="6">
        <v>45050</v>
      </c>
      <c r="B17" t="s">
        <v>3</v>
      </c>
      <c r="C17">
        <v>400</v>
      </c>
    </row>
    <row r="18" spans="1:3" x14ac:dyDescent="0.3">
      <c r="A18" s="6">
        <v>45050</v>
      </c>
      <c r="B18" t="s">
        <v>16</v>
      </c>
      <c r="C18">
        <v>500</v>
      </c>
    </row>
    <row r="19" spans="1:3" x14ac:dyDescent="0.3">
      <c r="A19" s="6">
        <v>45051</v>
      </c>
      <c r="B19" t="s">
        <v>17</v>
      </c>
      <c r="C19">
        <v>800</v>
      </c>
    </row>
    <row r="20" spans="1:3" x14ac:dyDescent="0.3">
      <c r="A20" s="6">
        <v>45051</v>
      </c>
      <c r="B20" t="s">
        <v>4</v>
      </c>
      <c r="C20">
        <v>700</v>
      </c>
    </row>
    <row r="21" spans="1:3" x14ac:dyDescent="0.3">
      <c r="A21" s="6">
        <v>45052</v>
      </c>
      <c r="B21" t="s">
        <v>18</v>
      </c>
      <c r="C21">
        <v>900</v>
      </c>
    </row>
    <row r="22" spans="1:3" x14ac:dyDescent="0.3">
      <c r="A22" t="s">
        <v>10</v>
      </c>
      <c r="C22">
        <f>SUBTOTAL(109,MyExpense[Cost])</f>
        <v>22480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91960</dc:creator>
  <cp:lastModifiedBy>91960</cp:lastModifiedBy>
  <dcterms:created xsi:type="dcterms:W3CDTF">2023-09-08T13:08:53Z</dcterms:created>
  <dcterms:modified xsi:type="dcterms:W3CDTF">2023-09-16T06:00:23Z</dcterms:modified>
</cp:coreProperties>
</file>